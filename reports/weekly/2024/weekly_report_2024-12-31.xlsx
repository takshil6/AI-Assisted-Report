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80-20 Customers" sheetId="2" state="visible" r:id="rId2"/>
    <sheet name="Segments" sheetId="3" state="visible" r:id="rId3"/>
    <sheet name="Regions" sheetId="4" state="visible" r:id="rId4"/>
    <sheet name="Weekly Trend" sheetId="5" state="visible" r:id="rId5"/>
    <sheet name="Pareto Cur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;(&quot;$&quot;#,##0);&quot;-&quot;"/>
    <numFmt numFmtId="165" formatCode="0.0%"/>
    <numFmt numFmtId="166" formatCode="yyyy-mm-dd h:mm:ss"/>
    <numFmt numFmtId="167" formatCode="yyyy-mm-dd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7F7F7F"/>
      <sz val="11"/>
    </font>
    <font>
      <name val="Calibri"/>
      <color rgb="007F7F7F"/>
      <sz val="10"/>
    </font>
    <font>
      <name val="Calibri"/>
      <b val="1"/>
      <color rgb="001F2A44"/>
      <sz val="20"/>
    </font>
    <font>
      <name val="Calibri"/>
      <b val="1"/>
      <color rgb="001F2A44"/>
      <sz val="13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0B4F2A"/>
      <sz val="11"/>
    </font>
  </fonts>
  <fills count="8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4F6FA"/>
      </patternFill>
    </fill>
    <fill>
      <patternFill patternType="solid">
        <fgColor rgb="004A5D7E"/>
      </patternFill>
    </fill>
    <fill>
      <patternFill patternType="solid">
        <fgColor rgb="00D6F0DC"/>
      </patternFill>
    </fill>
    <fill>
      <patternFill patternType="solid">
        <fgColor rgb="00F9FAFC"/>
      </patternFill>
    </fill>
    <fill>
      <patternFill patternType="solid">
        <fgColor rgb="00EAEA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left" vertical="center" indent="1"/>
    </xf>
    <xf numFmtId="0" fontId="5" fillId="0" borderId="0" pivotButton="0" quotePrefix="0" xfId="0"/>
    <xf numFmtId="0" fontId="6" fillId="0" borderId="0" applyAlignment="1" pivotButton="0" quotePrefix="0" xfId="0">
      <alignment horizontal="left" vertical="top" wrapText="1" indent="1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164" fontId="8" fillId="5" borderId="1" pivotButton="0" quotePrefix="0" xfId="0"/>
    <xf numFmtId="3" fontId="8" fillId="5" borderId="1" pivotButton="0" quotePrefix="0" xfId="0"/>
    <xf numFmtId="165" fontId="8" fillId="5" borderId="1" pivotButton="0" quotePrefix="0" xfId="0"/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164" fontId="6" fillId="6" borderId="1" pivotButton="0" quotePrefix="0" xfId="0"/>
    <xf numFmtId="3" fontId="6" fillId="6" borderId="1" pivotButton="0" quotePrefix="0" xfId="0"/>
    <xf numFmtId="165" fontId="6" fillId="6" borderId="1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indent="1"/>
    </xf>
    <xf numFmtId="164" fontId="6" fillId="0" borderId="1" pivotButton="0" quotePrefix="0" xfId="0"/>
    <xf numFmtId="3" fontId="6" fillId="0" borderId="1" pivotButton="0" quotePrefix="0" xfId="0"/>
    <xf numFmtId="165" fontId="6" fillId="0" borderId="1" pivotButton="0" quotePrefix="0" xfId="0"/>
    <xf numFmtId="167" fontId="6" fillId="0" borderId="1" pivotButton="0" quotePrefix="0" xfId="0"/>
    <xf numFmtId="167" fontId="6" fillId="6" borderId="1" pivotButton="0" quotePrefix="0" xfId="0"/>
    <xf numFmtId="167" fontId="6" fillId="7" borderId="1" pivotButton="0" quotePrefix="0" xfId="0"/>
    <xf numFmtId="164" fontId="6" fillId="7" borderId="1" pivotButton="0" quotePrefix="0" xfId="0"/>
    <xf numFmtId="3" fontId="6" fillId="7" borderId="1" pivotButton="0" quotePrefix="0" xfId="0"/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Revenue by Industry Segment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'Segments'!B4</f>
            </strRef>
          </tx>
          <spPr>
            <a:ln>
              <a:prstDash val="solid"/>
            </a:ln>
          </spPr>
          <cat>
            <numRef>
              <f>'Segments'!$A$5:$A$10</f>
            </numRef>
          </cat>
          <val>
            <numRef>
              <f>'Segments'!$B$5:$B$10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Revenue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'Regions'!B4</f>
            </strRef>
          </tx>
          <spPr>
            <a:ln>
              <a:prstDash val="solid"/>
            </a:ln>
          </spPr>
          <cat>
            <numRef>
              <f>'Regions'!$A$5:$A$10</f>
            </numRef>
          </cat>
          <val>
            <numRef>
              <f>'Regions'!$B$5:$B$10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Weekly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'Weekly Trend'!B4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'Weekly Trend'!$A$5:$A$56</f>
            </numRef>
          </cat>
          <val>
            <numRef>
              <f>'Weekly Trend'!$B$5:$B$56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Pareto Curve (Cumulative % by Customer Rank)</a:t>
            </a:r>
          </a:p>
        </rich>
      </tx>
    </title>
    <plotArea>
      <lineChart>
        <grouping val="standard"/>
        <ser>
          <idx val="0"/>
          <order val="0"/>
          <tx>
            <strRef>
              <f>'Pareto Curve'!C4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'Pareto Curve'!$A$5:$A$24</f>
            </numRef>
          </cat>
          <val>
            <numRef>
              <f>'Pareto Curve'!$C$5:$C$24</f>
            </numRef>
          </val>
        </ser>
        <ser>
          <idx val="1"/>
          <order val="1"/>
          <tx>
            <strRef>
              <f>'Pareto Curve'!D4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'Pareto Curve'!$A$5:$A$24</f>
            </numRef>
          </cat>
          <val>
            <numRef>
              <f>'Pareto Curve'!$D$5:$D$24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Customer Rank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Revenue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1" t="inlineStr">
        <is>
          <t>Weekly 80/20 Analytics Report</t>
        </is>
      </c>
    </row>
    <row r="2">
      <c r="A2" s="2" t="inlineStr">
        <is>
          <t>Data period: 2024-01-01  -  2024-12-31   |   Generated: 2026-04-22 11:43</t>
        </is>
      </c>
    </row>
    <row r="4">
      <c r="A4" s="3" t="inlineStr">
        <is>
          <t>TOTAL REVENUE</t>
        </is>
      </c>
      <c r="C4" s="3" t="inlineStr">
        <is>
          <t>TRANSACTIONS</t>
        </is>
      </c>
      <c r="E4" s="3" t="inlineStr">
        <is>
          <t>UNIQUE CUSTOMERS</t>
        </is>
      </c>
    </row>
    <row r="5" ht="30" customHeight="1">
      <c r="A5" s="4" t="inlineStr">
        <is>
          <t>$358,465,143</t>
        </is>
      </c>
      <c r="C5" s="4" t="inlineStr">
        <is>
          <t>4,713</t>
        </is>
      </c>
      <c r="E5" s="4" t="inlineStr">
        <is>
          <t>23</t>
        </is>
      </c>
    </row>
    <row r="6" ht="10" customHeight="1"/>
    <row r="8">
      <c r="A8" s="3" t="inlineStr">
        <is>
          <t>80/20 TIER SIZE</t>
        </is>
      </c>
      <c r="C8" s="3" t="inlineStr">
        <is>
          <t>REVENUE CONCENTRATION</t>
        </is>
      </c>
      <c r="E8" s="3" t="inlineStr">
        <is>
          <t>AVG WEEKLY REVENUE</t>
        </is>
      </c>
    </row>
    <row r="9" ht="30" customHeight="1">
      <c r="A9" s="4" t="inlineStr">
        <is>
          <t>1 customers</t>
        </is>
      </c>
      <c r="C9" s="4" t="inlineStr">
        <is>
          <t>85.5% of revenue</t>
        </is>
      </c>
      <c r="E9" s="4" t="inlineStr">
        <is>
          <t>$6,763,493</t>
        </is>
      </c>
    </row>
    <row r="10" ht="10" customHeight="1"/>
    <row r="13">
      <c r="A13" s="5" t="inlineStr">
        <is>
          <t>Key Takeaway</t>
        </is>
      </c>
    </row>
    <row r="14" ht="50" customHeight="1">
      <c r="A14" s="6" t="inlineStr">
        <is>
          <t>The top 1 customer(s) (4.3% of all customers) generate 85.5% of total revenue. The #1 customer alone, Global Pulp &amp; Paper Inc, represents 85.5% of revenue -- indicating significant concentration risk and a clear priority list for account management.</t>
        </is>
      </c>
    </row>
    <row r="15"/>
    <row r="16"/>
  </sheetData>
  <mergeCells count="15">
    <mergeCell ref="A4:B4"/>
    <mergeCell ref="A2:F2"/>
    <mergeCell ref="E4:F4"/>
    <mergeCell ref="C9:D10"/>
    <mergeCell ref="A14:F16"/>
    <mergeCell ref="E9:F10"/>
    <mergeCell ref="A1:F1"/>
    <mergeCell ref="C5:D6"/>
    <mergeCell ref="A5:B6"/>
    <mergeCell ref="E5:F6"/>
    <mergeCell ref="A8:B8"/>
    <mergeCell ref="A9:B10"/>
    <mergeCell ref="E8:F8"/>
    <mergeCell ref="C8:D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 ht="36" customHeight="1">
      <c r="A1" s="1" t="inlineStr">
        <is>
          <t>Top Customers - Pareto Analysis</t>
        </is>
      </c>
    </row>
    <row r="2">
      <c r="A2" s="2" t="inlineStr">
        <is>
          <t>Customers whose cumulative revenue reaches 80% are flagged as the 80/20 tier.</t>
        </is>
      </c>
    </row>
    <row r="4" ht="24" customHeight="1">
      <c r="A4" s="7" t="inlineStr">
        <is>
          <t>Rank</t>
        </is>
      </c>
      <c r="B4" s="7" t="inlineStr">
        <is>
          <t>Customer</t>
        </is>
      </c>
      <c r="C4" s="7" t="inlineStr">
        <is>
          <t>Revenue</t>
        </is>
      </c>
      <c r="D4" s="7" t="inlineStr">
        <is>
          <t>Transactions</t>
        </is>
      </c>
      <c r="E4" s="7" t="inlineStr">
        <is>
          <t>Avg Order</t>
        </is>
      </c>
      <c r="F4" s="7" t="inlineStr">
        <is>
          <t>% of Total</t>
        </is>
      </c>
      <c r="G4" s="7" t="inlineStr">
        <is>
          <t>Cumulative %</t>
        </is>
      </c>
    </row>
    <row r="5">
      <c r="A5" s="8" t="n">
        <v>1</v>
      </c>
      <c r="B5" s="9" t="inlineStr">
        <is>
          <t>Global Pulp &amp; Paper Inc</t>
        </is>
      </c>
      <c r="C5" s="10" t="n">
        <v>306400266.44</v>
      </c>
      <c r="D5" s="11" t="n">
        <v>1920</v>
      </c>
      <c r="E5" s="10" t="n">
        <v>159583.47</v>
      </c>
      <c r="F5" s="12" t="n">
        <v>0.8548</v>
      </c>
      <c r="G5" s="12" t="n">
        <v>0.8548</v>
      </c>
    </row>
    <row r="6">
      <c r="A6" s="13" t="n">
        <v>2</v>
      </c>
      <c r="B6" s="14" t="inlineStr">
        <is>
          <t>Sequoia Wood Products</t>
        </is>
      </c>
      <c r="C6" s="15" t="n">
        <v>19818156.89</v>
      </c>
      <c r="D6" s="16" t="n">
        <v>489</v>
      </c>
      <c r="E6" s="15" t="n">
        <v>40527.93</v>
      </c>
      <c r="F6" s="17" t="n">
        <v>0.0553</v>
      </c>
      <c r="G6" s="17" t="n">
        <v>0.91</v>
      </c>
    </row>
    <row r="7">
      <c r="A7" s="18" t="n">
        <v>3</v>
      </c>
      <c r="B7" s="19" t="inlineStr">
        <is>
          <t>Midwest Steel Works</t>
        </is>
      </c>
      <c r="C7" s="20" t="n">
        <v>6406459.83</v>
      </c>
      <c r="D7" s="21" t="n">
        <v>271</v>
      </c>
      <c r="E7" s="20" t="n">
        <v>23640.07</v>
      </c>
      <c r="F7" s="22" t="n">
        <v>0.0179</v>
      </c>
      <c r="G7" s="22" t="n">
        <v>0.9279000000000001</v>
      </c>
    </row>
    <row r="8">
      <c r="A8" s="13" t="n">
        <v>4</v>
      </c>
      <c r="B8" s="14" t="inlineStr">
        <is>
          <t>Pacific Recycling LLC</t>
        </is>
      </c>
      <c r="C8" s="15" t="n">
        <v>5976809.78</v>
      </c>
      <c r="D8" s="16" t="n">
        <v>249</v>
      </c>
      <c r="E8" s="15" t="n">
        <v>24003.25</v>
      </c>
      <c r="F8" s="17" t="n">
        <v>0.0167</v>
      </c>
      <c r="G8" s="17" t="n">
        <v>0.9445999999999999</v>
      </c>
    </row>
    <row r="9">
      <c r="A9" s="18" t="n">
        <v>5</v>
      </c>
      <c r="B9" s="19" t="inlineStr">
        <is>
          <t>Continental Packaging Group</t>
        </is>
      </c>
      <c r="C9" s="20" t="n">
        <v>4406266.93</v>
      </c>
      <c r="D9" s="21" t="n">
        <v>231</v>
      </c>
      <c r="E9" s="20" t="n">
        <v>19074.75</v>
      </c>
      <c r="F9" s="22" t="n">
        <v>0.0123</v>
      </c>
      <c r="G9" s="22" t="n">
        <v>0.9569</v>
      </c>
    </row>
    <row r="10">
      <c r="A10" s="13" t="n">
        <v>6</v>
      </c>
      <c r="B10" s="14" t="inlineStr">
        <is>
          <t>Acme Industrial Corp</t>
        </is>
      </c>
      <c r="C10" s="15" t="n">
        <v>2347041.1</v>
      </c>
      <c r="D10" s="16" t="n">
        <v>165</v>
      </c>
      <c r="E10" s="15" t="n">
        <v>14224.49</v>
      </c>
      <c r="F10" s="17" t="n">
        <v>0.006500000000000001</v>
      </c>
      <c r="G10" s="17" t="n">
        <v>0.9634</v>
      </c>
    </row>
    <row r="11">
      <c r="A11" s="18" t="n">
        <v>7</v>
      </c>
      <c r="B11" s="19" t="inlineStr">
        <is>
          <t>Cascade Paper Products</t>
        </is>
      </c>
      <c r="C11" s="20" t="n">
        <v>1797506.51</v>
      </c>
      <c r="D11" s="21" t="n">
        <v>151</v>
      </c>
      <c r="E11" s="20" t="n">
        <v>11904.02</v>
      </c>
      <c r="F11" s="22" t="n">
        <v>0.005</v>
      </c>
      <c r="G11" s="22" t="n">
        <v>0.9684</v>
      </c>
    </row>
    <row r="12">
      <c r="A12" s="13" t="n">
        <v>8</v>
      </c>
      <c r="B12" s="14" t="inlineStr">
        <is>
          <t>Tidewater Chemical Co</t>
        </is>
      </c>
      <c r="C12" s="15" t="n">
        <v>1759992.71</v>
      </c>
      <c r="D12" s="16" t="n">
        <v>148</v>
      </c>
      <c r="E12" s="15" t="n">
        <v>11891.84</v>
      </c>
      <c r="F12" s="17" t="n">
        <v>0.0049</v>
      </c>
      <c r="G12" s="17" t="n">
        <v>0.9734</v>
      </c>
    </row>
    <row r="13">
      <c r="A13" s="18" t="n">
        <v>9</v>
      </c>
      <c r="B13" s="19" t="inlineStr">
        <is>
          <t>Evergreen Forest Industries</t>
        </is>
      </c>
      <c r="C13" s="20" t="n">
        <v>1564779.18</v>
      </c>
      <c r="D13" s="21" t="n">
        <v>134</v>
      </c>
      <c r="E13" s="20" t="n">
        <v>11677.46</v>
      </c>
      <c r="F13" s="22" t="n">
        <v>0.0044</v>
      </c>
      <c r="G13" s="22" t="n">
        <v>0.9777</v>
      </c>
    </row>
    <row r="14">
      <c r="A14" s="13" t="n">
        <v>10</v>
      </c>
      <c r="B14" s="14" t="inlineStr">
        <is>
          <t>BlueRidge Manufacturing</t>
        </is>
      </c>
      <c r="C14" s="15" t="n">
        <v>1334025.4</v>
      </c>
      <c r="D14" s="16" t="n">
        <v>125</v>
      </c>
      <c r="E14" s="15" t="n">
        <v>10672.2</v>
      </c>
      <c r="F14" s="17" t="n">
        <v>0.0037</v>
      </c>
      <c r="G14" s="17" t="n">
        <v>0.9814000000000001</v>
      </c>
    </row>
    <row r="15">
      <c r="A15" s="18" t="n">
        <v>11</v>
      </c>
      <c r="B15" s="19" t="inlineStr">
        <is>
          <t>Pacific Recycling Llc</t>
        </is>
      </c>
      <c r="C15" s="20" t="n">
        <v>1048048.96</v>
      </c>
      <c r="D15" s="21" t="n">
        <v>44</v>
      </c>
      <c r="E15" s="20" t="n">
        <v>23819.29</v>
      </c>
      <c r="F15" s="22" t="n">
        <v>0.0029</v>
      </c>
      <c r="G15" s="22" t="n">
        <v>0.9843999999999999</v>
      </c>
    </row>
    <row r="16">
      <c r="A16" s="13" t="n">
        <v>12</v>
      </c>
      <c r="B16" s="14" t="inlineStr">
        <is>
          <t>Ironworks Heavy Equipment</t>
        </is>
      </c>
      <c r="C16" s="15" t="n">
        <v>979330.45</v>
      </c>
      <c r="D16" s="16" t="n">
        <v>101</v>
      </c>
      <c r="E16" s="15" t="n">
        <v>9696.34</v>
      </c>
      <c r="F16" s="17" t="n">
        <v>0.0027</v>
      </c>
      <c r="G16" s="17" t="n">
        <v>0.9871</v>
      </c>
    </row>
    <row r="17">
      <c r="A17" s="18" t="n">
        <v>13</v>
      </c>
      <c r="B17" s="19" t="inlineStr">
        <is>
          <t>Lakeside Pulp Mills</t>
        </is>
      </c>
      <c r="C17" s="20" t="n">
        <v>837720.3199999999</v>
      </c>
      <c r="D17" s="21" t="n">
        <v>97</v>
      </c>
      <c r="E17" s="20" t="n">
        <v>8636.290000000001</v>
      </c>
      <c r="F17" s="22" t="n">
        <v>0.0023</v>
      </c>
      <c r="G17" s="22" t="n">
        <v>0.9893999999999999</v>
      </c>
    </row>
    <row r="18">
      <c r="A18" s="13" t="n">
        <v>14</v>
      </c>
      <c r="B18" s="14" t="inlineStr">
        <is>
          <t>Atlantic Chemical Partners</t>
        </is>
      </c>
      <c r="C18" s="15" t="n">
        <v>685636.97</v>
      </c>
      <c r="D18" s="16" t="n">
        <v>92</v>
      </c>
      <c r="E18" s="15" t="n">
        <v>7452.58</v>
      </c>
      <c r="F18" s="17" t="n">
        <v>0.0019</v>
      </c>
      <c r="G18" s="17" t="n">
        <v>0.9913</v>
      </c>
    </row>
    <row r="19">
      <c r="A19" s="18" t="n">
        <v>15</v>
      </c>
      <c r="B19" s="19" t="inlineStr">
        <is>
          <t>Oakwood Materials Inc</t>
        </is>
      </c>
      <c r="C19" s="20" t="n">
        <v>658100.99</v>
      </c>
      <c r="D19" s="21" t="n">
        <v>87</v>
      </c>
      <c r="E19" s="20" t="n">
        <v>7564.38</v>
      </c>
      <c r="F19" s="22" t="n">
        <v>0.0018</v>
      </c>
      <c r="G19" s="22" t="n">
        <v>0.9932</v>
      </c>
    </row>
    <row r="20">
      <c r="A20" s="13" t="n">
        <v>16</v>
      </c>
      <c r="B20" s="14" t="inlineStr">
        <is>
          <t>Northern Timber Co</t>
        </is>
      </c>
      <c r="C20" s="15" t="n">
        <v>492689.54</v>
      </c>
      <c r="D20" s="16" t="n">
        <v>78</v>
      </c>
      <c r="E20" s="15" t="n">
        <v>6316.53</v>
      </c>
      <c r="F20" s="17" t="n">
        <v>0.0014</v>
      </c>
      <c r="G20" s="17" t="n">
        <v>0.9945999999999999</v>
      </c>
    </row>
    <row r="21">
      <c r="A21" s="18" t="n">
        <v>17</v>
      </c>
      <c r="B21" s="19" t="inlineStr">
        <is>
          <t>Redwood Fiber Solutions</t>
        </is>
      </c>
      <c r="C21" s="20" t="n">
        <v>429908.65</v>
      </c>
      <c r="D21" s="21" t="n">
        <v>65</v>
      </c>
      <c r="E21" s="20" t="n">
        <v>6613.98</v>
      </c>
      <c r="F21" s="22" t="n">
        <v>0.0012</v>
      </c>
      <c r="G21" s="22" t="n">
        <v>0.9958</v>
      </c>
    </row>
    <row r="22">
      <c r="A22" s="13" t="n">
        <v>18</v>
      </c>
      <c r="B22" s="14" t="inlineStr">
        <is>
          <t>Prairie Grain Handlers</t>
        </is>
      </c>
      <c r="C22" s="15" t="n">
        <v>420779.96</v>
      </c>
      <c r="D22" s="16" t="n">
        <v>69</v>
      </c>
      <c r="E22" s="15" t="n">
        <v>6098.26</v>
      </c>
      <c r="F22" s="17" t="n">
        <v>0.0012</v>
      </c>
      <c r="G22" s="17" t="n">
        <v>0.9969</v>
      </c>
    </row>
    <row r="23">
      <c r="A23" s="18" t="n">
        <v>19</v>
      </c>
      <c r="B23" s="19" t="inlineStr">
        <is>
          <t>Meridian Engineering Services</t>
        </is>
      </c>
      <c r="C23" s="20" t="n">
        <v>370349.65</v>
      </c>
      <c r="D23" s="21" t="n">
        <v>67</v>
      </c>
      <c r="E23" s="20" t="n">
        <v>5527.61</v>
      </c>
      <c r="F23" s="22" t="n">
        <v>0.001</v>
      </c>
      <c r="G23" s="22" t="n">
        <v>0.998</v>
      </c>
    </row>
    <row r="24">
      <c r="A24" s="13" t="n">
        <v>20</v>
      </c>
      <c r="B24" s="14" t="inlineStr">
        <is>
          <t>Summit Mining Enterprises</t>
        </is>
      </c>
      <c r="C24" s="15" t="n">
        <v>293068</v>
      </c>
      <c r="D24" s="16" t="n">
        <v>52</v>
      </c>
      <c r="E24" s="15" t="n">
        <v>5635.92</v>
      </c>
      <c r="F24" s="17" t="n">
        <v>0.0008</v>
      </c>
      <c r="G24" s="17" t="n">
        <v>0.9987999999999999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  <col width="12" customWidth="1" min="5" max="5"/>
  </cols>
  <sheetData>
    <row r="1" ht="36" customHeight="1">
      <c r="A1" s="1" t="inlineStr">
        <is>
          <t>Industry Segment Breakdown</t>
        </is>
      </c>
    </row>
    <row r="2">
      <c r="A2" s="2" t="inlineStr">
        <is>
          <t>Revenue and customer count by industry vertical.</t>
        </is>
      </c>
    </row>
    <row r="4" ht="24" customHeight="1">
      <c r="A4" s="7" t="inlineStr">
        <is>
          <t>Industry Segment</t>
        </is>
      </c>
      <c r="B4" s="7" t="inlineStr">
        <is>
          <t>Revenue</t>
        </is>
      </c>
      <c r="C4" s="7" t="inlineStr">
        <is>
          <t>Transactions</t>
        </is>
      </c>
      <c r="D4" s="7" t="inlineStr">
        <is>
          <t>Unique Customers</t>
        </is>
      </c>
      <c r="E4" s="7" t="inlineStr">
        <is>
          <t>% of Total</t>
        </is>
      </c>
    </row>
    <row r="5">
      <c r="A5" s="19" t="inlineStr">
        <is>
          <t>Pulp &amp; Paper</t>
        </is>
      </c>
      <c r="B5" s="20" t="n">
        <v>63338981.31</v>
      </c>
      <c r="C5" s="21" t="n">
        <v>797</v>
      </c>
      <c r="D5" s="21" t="n">
        <v>22</v>
      </c>
      <c r="E5" s="22" t="n">
        <v>0.1767</v>
      </c>
    </row>
    <row r="6">
      <c r="A6" s="14" t="inlineStr">
        <is>
          <t>Mining</t>
        </is>
      </c>
      <c r="B6" s="15" t="n">
        <v>62507875.15</v>
      </c>
      <c r="C6" s="16" t="n">
        <v>831</v>
      </c>
      <c r="D6" s="16" t="n">
        <v>23</v>
      </c>
      <c r="E6" s="17" t="n">
        <v>0.1744</v>
      </c>
    </row>
    <row r="7">
      <c r="A7" s="19" t="inlineStr">
        <is>
          <t>Food &amp; Beverage</t>
        </is>
      </c>
      <c r="B7" s="20" t="n">
        <v>61512518.02</v>
      </c>
      <c r="C7" s="21" t="n">
        <v>757</v>
      </c>
      <c r="D7" s="21" t="n">
        <v>22</v>
      </c>
      <c r="E7" s="22" t="n">
        <v>0.1716</v>
      </c>
    </row>
    <row r="8">
      <c r="A8" s="14" t="inlineStr">
        <is>
          <t>Wood Products</t>
        </is>
      </c>
      <c r="B8" s="15" t="n">
        <v>58609753.42</v>
      </c>
      <c r="C8" s="16" t="n">
        <v>836</v>
      </c>
      <c r="D8" s="16" t="n">
        <v>23</v>
      </c>
      <c r="E8" s="17" t="n">
        <v>0.1635</v>
      </c>
    </row>
    <row r="9">
      <c r="A9" s="19" t="inlineStr">
        <is>
          <t>Chemical Processing</t>
        </is>
      </c>
      <c r="B9" s="20" t="n">
        <v>57193826.47</v>
      </c>
      <c r="C9" s="21" t="n">
        <v>781</v>
      </c>
      <c r="D9" s="21" t="n">
        <v>23</v>
      </c>
      <c r="E9" s="22" t="n">
        <v>0.1596</v>
      </c>
    </row>
    <row r="10">
      <c r="A10" s="14" t="inlineStr">
        <is>
          <t>Recycling</t>
        </is>
      </c>
      <c r="B10" s="15" t="n">
        <v>55302188.47</v>
      </c>
      <c r="C10" s="16" t="n">
        <v>711</v>
      </c>
      <c r="D10" s="16" t="n">
        <v>21</v>
      </c>
      <c r="E10" s="17" t="n">
        <v>0.1543</v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  <col width="12" customWidth="1" min="5" max="5"/>
  </cols>
  <sheetData>
    <row r="1" ht="36" customHeight="1">
      <c r="A1" s="1" t="inlineStr">
        <is>
          <t>Geographic Region Breakdown</t>
        </is>
      </c>
    </row>
    <row r="2">
      <c r="A2" s="2" t="inlineStr">
        <is>
          <t>Revenue and customer count by sales region.</t>
        </is>
      </c>
    </row>
    <row r="4" ht="24" customHeight="1">
      <c r="A4" s="7" t="inlineStr">
        <is>
          <t>Region</t>
        </is>
      </c>
      <c r="B4" s="7" t="inlineStr">
        <is>
          <t>Revenue</t>
        </is>
      </c>
      <c r="C4" s="7" t="inlineStr">
        <is>
          <t>Transactions</t>
        </is>
      </c>
      <c r="D4" s="7" t="inlineStr">
        <is>
          <t>Unique Customers</t>
        </is>
      </c>
      <c r="E4" s="7" t="inlineStr">
        <is>
          <t>% of Total</t>
        </is>
      </c>
    </row>
    <row r="5">
      <c r="A5" s="19" t="inlineStr">
        <is>
          <t>Northeast</t>
        </is>
      </c>
      <c r="B5" s="20" t="n">
        <v>63578195.87</v>
      </c>
      <c r="C5" s="21" t="n">
        <v>829</v>
      </c>
      <c r="D5" s="21" t="n">
        <v>23</v>
      </c>
      <c r="E5" s="22" t="n">
        <v>0.1774</v>
      </c>
    </row>
    <row r="6">
      <c r="A6" s="14" t="inlineStr">
        <is>
          <t>International</t>
        </is>
      </c>
      <c r="B6" s="15" t="n">
        <v>62501567.27</v>
      </c>
      <c r="C6" s="16" t="n">
        <v>786</v>
      </c>
      <c r="D6" s="16" t="n">
        <v>22</v>
      </c>
      <c r="E6" s="17" t="n">
        <v>0.1744</v>
      </c>
    </row>
    <row r="7">
      <c r="A7" s="19" t="inlineStr">
        <is>
          <t>Southwest</t>
        </is>
      </c>
      <c r="B7" s="20" t="n">
        <v>60880047.39</v>
      </c>
      <c r="C7" s="21" t="n">
        <v>807</v>
      </c>
      <c r="D7" s="21" t="n">
        <v>23</v>
      </c>
      <c r="E7" s="22" t="n">
        <v>0.1698</v>
      </c>
    </row>
    <row r="8">
      <c r="A8" s="14" t="inlineStr">
        <is>
          <t>Southeast</t>
        </is>
      </c>
      <c r="B8" s="15" t="n">
        <v>60433070.59</v>
      </c>
      <c r="C8" s="16" t="n">
        <v>756</v>
      </c>
      <c r="D8" s="16" t="n">
        <v>23</v>
      </c>
      <c r="E8" s="17" t="n">
        <v>0.1686</v>
      </c>
    </row>
    <row r="9">
      <c r="A9" s="19" t="inlineStr">
        <is>
          <t>West</t>
        </is>
      </c>
      <c r="B9" s="20" t="n">
        <v>55715306.04</v>
      </c>
      <c r="C9" s="21" t="n">
        <v>759</v>
      </c>
      <c r="D9" s="21" t="n">
        <v>22</v>
      </c>
      <c r="E9" s="22" t="n">
        <v>0.1554</v>
      </c>
    </row>
    <row r="10">
      <c r="A10" s="14" t="inlineStr">
        <is>
          <t>Midwest</t>
        </is>
      </c>
      <c r="B10" s="15" t="n">
        <v>55356955.68</v>
      </c>
      <c r="C10" s="16" t="n">
        <v>776</v>
      </c>
      <c r="D10" s="16" t="n">
        <v>23</v>
      </c>
      <c r="E10" s="17" t="n">
        <v>0.1544</v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20" customWidth="1" min="5" max="5"/>
  </cols>
  <sheetData>
    <row r="1" ht="36" customHeight="1">
      <c r="A1" s="1" t="inlineStr">
        <is>
          <t>Weekly Revenue Trend</t>
        </is>
      </c>
    </row>
    <row r="2">
      <c r="A2" s="2" t="inlineStr">
        <is>
          <t>Revenue aggregated by ISO week. Trailing partial weeks flagged in gray.</t>
        </is>
      </c>
    </row>
    <row r="4" ht="24" customHeight="1">
      <c r="A4" s="7" t="inlineStr">
        <is>
          <t>Week Ending</t>
        </is>
      </c>
      <c r="B4" s="7" t="inlineStr">
        <is>
          <t>Revenue</t>
        </is>
      </c>
      <c r="C4" s="7" t="inlineStr">
        <is>
          <t>Transactions</t>
        </is>
      </c>
      <c r="D4" s="7" t="inlineStr">
        <is>
          <t>WoW Change</t>
        </is>
      </c>
      <c r="E4" s="7" t="inlineStr">
        <is>
          <t>Notes</t>
        </is>
      </c>
    </row>
    <row r="5">
      <c r="A5" s="23" t="n">
        <v>45298</v>
      </c>
      <c r="B5" s="20" t="n">
        <v>7204299</v>
      </c>
      <c r="C5" s="21" t="n">
        <v>89</v>
      </c>
      <c r="D5" s="18" t="inlineStr">
        <is>
          <t>-</t>
        </is>
      </c>
      <c r="E5" s="19" t="inlineStr"/>
    </row>
    <row r="6">
      <c r="A6" s="24" t="n">
        <v>45305</v>
      </c>
      <c r="B6" s="15" t="n">
        <v>6549553.22</v>
      </c>
      <c r="C6" s="16" t="n">
        <v>93</v>
      </c>
      <c r="D6" s="17" t="n">
        <v>-0.09089999999999999</v>
      </c>
      <c r="E6" s="14" t="inlineStr"/>
    </row>
    <row r="7">
      <c r="A7" s="23" t="n">
        <v>45312</v>
      </c>
      <c r="B7" s="20" t="n">
        <v>8438312.9</v>
      </c>
      <c r="C7" s="21" t="n">
        <v>108</v>
      </c>
      <c r="D7" s="22" t="n">
        <v>0.2884</v>
      </c>
      <c r="E7" s="19" t="inlineStr"/>
    </row>
    <row r="8">
      <c r="A8" s="24" t="n">
        <v>45319</v>
      </c>
      <c r="B8" s="15" t="n">
        <v>7907184.84</v>
      </c>
      <c r="C8" s="16" t="n">
        <v>92</v>
      </c>
      <c r="D8" s="17" t="n">
        <v>-0.0629</v>
      </c>
      <c r="E8" s="14" t="inlineStr"/>
    </row>
    <row r="9">
      <c r="A9" s="23" t="n">
        <v>45326</v>
      </c>
      <c r="B9" s="20" t="n">
        <v>7268936.36</v>
      </c>
      <c r="C9" s="21" t="n">
        <v>88</v>
      </c>
      <c r="D9" s="22" t="n">
        <v>-0.08070000000000001</v>
      </c>
      <c r="E9" s="19" t="inlineStr"/>
    </row>
    <row r="10">
      <c r="A10" s="24" t="n">
        <v>45333</v>
      </c>
      <c r="B10" s="15" t="n">
        <v>7226743.6</v>
      </c>
      <c r="C10" s="16" t="n">
        <v>99</v>
      </c>
      <c r="D10" s="17" t="n">
        <v>-0.0058</v>
      </c>
      <c r="E10" s="14" t="inlineStr"/>
    </row>
    <row r="11">
      <c r="A11" s="23" t="n">
        <v>45340</v>
      </c>
      <c r="B11" s="20" t="n">
        <v>7000037.35</v>
      </c>
      <c r="C11" s="21" t="n">
        <v>79</v>
      </c>
      <c r="D11" s="22" t="n">
        <v>-0.0314</v>
      </c>
      <c r="E11" s="19" t="inlineStr"/>
    </row>
    <row r="12">
      <c r="A12" s="24" t="n">
        <v>45347</v>
      </c>
      <c r="B12" s="15" t="n">
        <v>6182770.17</v>
      </c>
      <c r="C12" s="16" t="n">
        <v>93</v>
      </c>
      <c r="D12" s="17" t="n">
        <v>-0.1168</v>
      </c>
      <c r="E12" s="14" t="inlineStr"/>
    </row>
    <row r="13">
      <c r="A13" s="23" t="n">
        <v>45354</v>
      </c>
      <c r="B13" s="20" t="n">
        <v>6249616.79</v>
      </c>
      <c r="C13" s="21" t="n">
        <v>86</v>
      </c>
      <c r="D13" s="22" t="n">
        <v>0.0108</v>
      </c>
      <c r="E13" s="19" t="inlineStr"/>
    </row>
    <row r="14">
      <c r="A14" s="24" t="n">
        <v>45361</v>
      </c>
      <c r="B14" s="15" t="n">
        <v>5408195.37</v>
      </c>
      <c r="C14" s="16" t="n">
        <v>83</v>
      </c>
      <c r="D14" s="17" t="n">
        <v>-0.1346</v>
      </c>
      <c r="E14" s="14" t="inlineStr"/>
    </row>
    <row r="15">
      <c r="A15" s="23" t="n">
        <v>45368</v>
      </c>
      <c r="B15" s="20" t="n">
        <v>8125285.75</v>
      </c>
      <c r="C15" s="21" t="n">
        <v>92</v>
      </c>
      <c r="D15" s="22" t="n">
        <v>0.5024000000000001</v>
      </c>
      <c r="E15" s="19" t="inlineStr"/>
    </row>
    <row r="16">
      <c r="A16" s="24" t="n">
        <v>45375</v>
      </c>
      <c r="B16" s="15" t="n">
        <v>6471736.44</v>
      </c>
      <c r="C16" s="16" t="n">
        <v>81</v>
      </c>
      <c r="D16" s="17" t="n">
        <v>-0.2035</v>
      </c>
      <c r="E16" s="14" t="inlineStr"/>
    </row>
    <row r="17">
      <c r="A17" s="23" t="n">
        <v>45382</v>
      </c>
      <c r="B17" s="20" t="n">
        <v>5616714.23</v>
      </c>
      <c r="C17" s="21" t="n">
        <v>85</v>
      </c>
      <c r="D17" s="22" t="n">
        <v>-0.1321</v>
      </c>
      <c r="E17" s="19" t="inlineStr"/>
    </row>
    <row r="18">
      <c r="A18" s="24" t="n">
        <v>45389</v>
      </c>
      <c r="B18" s="15" t="n">
        <v>7790981.67</v>
      </c>
      <c r="C18" s="16" t="n">
        <v>99</v>
      </c>
      <c r="D18" s="17" t="n">
        <v>0.3871</v>
      </c>
      <c r="E18" s="14" t="inlineStr"/>
    </row>
    <row r="19">
      <c r="A19" s="23" t="n">
        <v>45396</v>
      </c>
      <c r="B19" s="20" t="n">
        <v>5349226.12</v>
      </c>
      <c r="C19" s="21" t="n">
        <v>91</v>
      </c>
      <c r="D19" s="22" t="n">
        <v>-0.3134</v>
      </c>
      <c r="E19" s="19" t="inlineStr"/>
    </row>
    <row r="20">
      <c r="A20" s="24" t="n">
        <v>45403</v>
      </c>
      <c r="B20" s="15" t="n">
        <v>6001007.7</v>
      </c>
      <c r="C20" s="16" t="n">
        <v>77</v>
      </c>
      <c r="D20" s="17" t="n">
        <v>0.1218</v>
      </c>
      <c r="E20" s="14" t="inlineStr"/>
    </row>
    <row r="21">
      <c r="A21" s="23" t="n">
        <v>45410</v>
      </c>
      <c r="B21" s="20" t="n">
        <v>6145486.46</v>
      </c>
      <c r="C21" s="21" t="n">
        <v>85</v>
      </c>
      <c r="D21" s="22" t="n">
        <v>0.0241</v>
      </c>
      <c r="E21" s="19" t="inlineStr"/>
    </row>
    <row r="22">
      <c r="A22" s="24" t="n">
        <v>45417</v>
      </c>
      <c r="B22" s="15" t="n">
        <v>6762198.88</v>
      </c>
      <c r="C22" s="16" t="n">
        <v>80</v>
      </c>
      <c r="D22" s="17" t="n">
        <v>0.1004</v>
      </c>
      <c r="E22" s="14" t="inlineStr"/>
    </row>
    <row r="23">
      <c r="A23" s="23" t="n">
        <v>45424</v>
      </c>
      <c r="B23" s="20" t="n">
        <v>6249843.87</v>
      </c>
      <c r="C23" s="21" t="n">
        <v>73</v>
      </c>
      <c r="D23" s="22" t="n">
        <v>-0.07580000000000001</v>
      </c>
      <c r="E23" s="19" t="inlineStr"/>
    </row>
    <row r="24">
      <c r="A24" s="24" t="n">
        <v>45431</v>
      </c>
      <c r="B24" s="15" t="n">
        <v>5787168.15</v>
      </c>
      <c r="C24" s="16" t="n">
        <v>87</v>
      </c>
      <c r="D24" s="17" t="n">
        <v>-0.07400000000000001</v>
      </c>
      <c r="E24" s="14" t="inlineStr"/>
    </row>
    <row r="25">
      <c r="A25" s="23" t="n">
        <v>45438</v>
      </c>
      <c r="B25" s="20" t="n">
        <v>5737717.87</v>
      </c>
      <c r="C25" s="21" t="n">
        <v>83</v>
      </c>
      <c r="D25" s="22" t="n">
        <v>-0.008500000000000001</v>
      </c>
      <c r="E25" s="19" t="inlineStr"/>
    </row>
    <row r="26">
      <c r="A26" s="24" t="n">
        <v>45445</v>
      </c>
      <c r="B26" s="15" t="n">
        <v>7070121.15</v>
      </c>
      <c r="C26" s="16" t="n">
        <v>82</v>
      </c>
      <c r="D26" s="17" t="n">
        <v>0.2322</v>
      </c>
      <c r="E26" s="14" t="inlineStr"/>
    </row>
    <row r="27">
      <c r="A27" s="23" t="n">
        <v>45452</v>
      </c>
      <c r="B27" s="20" t="n">
        <v>6161639.21</v>
      </c>
      <c r="C27" s="21" t="n">
        <v>91</v>
      </c>
      <c r="D27" s="22" t="n">
        <v>-0.1285</v>
      </c>
      <c r="E27" s="19" t="inlineStr"/>
    </row>
    <row r="28">
      <c r="A28" s="24" t="n">
        <v>45459</v>
      </c>
      <c r="B28" s="15" t="n">
        <v>5512181.95</v>
      </c>
      <c r="C28" s="16" t="n">
        <v>84</v>
      </c>
      <c r="D28" s="17" t="n">
        <v>-0.1054</v>
      </c>
      <c r="E28" s="14" t="inlineStr"/>
    </row>
    <row r="29">
      <c r="A29" s="23" t="n">
        <v>45466</v>
      </c>
      <c r="B29" s="20" t="n">
        <v>7741534.94</v>
      </c>
      <c r="C29" s="21" t="n">
        <v>99</v>
      </c>
      <c r="D29" s="22" t="n">
        <v>0.4044</v>
      </c>
      <c r="E29" s="19" t="inlineStr"/>
    </row>
    <row r="30">
      <c r="A30" s="24" t="n">
        <v>45473</v>
      </c>
      <c r="B30" s="15" t="n">
        <v>7138219.64</v>
      </c>
      <c r="C30" s="16" t="n">
        <v>90</v>
      </c>
      <c r="D30" s="17" t="n">
        <v>-0.0779</v>
      </c>
      <c r="E30" s="14" t="inlineStr"/>
    </row>
    <row r="31">
      <c r="A31" s="23" t="n">
        <v>45480</v>
      </c>
      <c r="B31" s="20" t="n">
        <v>6766077.17</v>
      </c>
      <c r="C31" s="21" t="n">
        <v>89</v>
      </c>
      <c r="D31" s="22" t="n">
        <v>-0.0521</v>
      </c>
      <c r="E31" s="19" t="inlineStr"/>
    </row>
    <row r="32">
      <c r="A32" s="24" t="n">
        <v>45487</v>
      </c>
      <c r="B32" s="15" t="n">
        <v>6589741.9</v>
      </c>
      <c r="C32" s="16" t="n">
        <v>92</v>
      </c>
      <c r="D32" s="17" t="n">
        <v>-0.0261</v>
      </c>
      <c r="E32" s="14" t="inlineStr"/>
    </row>
    <row r="33">
      <c r="A33" s="23" t="n">
        <v>45494</v>
      </c>
      <c r="B33" s="20" t="n">
        <v>6646467.53</v>
      </c>
      <c r="C33" s="21" t="n">
        <v>98</v>
      </c>
      <c r="D33" s="22" t="n">
        <v>0.0086</v>
      </c>
      <c r="E33" s="19" t="inlineStr"/>
    </row>
    <row r="34">
      <c r="A34" s="24" t="n">
        <v>45501</v>
      </c>
      <c r="B34" s="15" t="n">
        <v>6276646.5</v>
      </c>
      <c r="C34" s="16" t="n">
        <v>92</v>
      </c>
      <c r="D34" s="17" t="n">
        <v>-0.0556</v>
      </c>
      <c r="E34" s="14" t="inlineStr"/>
    </row>
    <row r="35">
      <c r="A35" s="23" t="n">
        <v>45508</v>
      </c>
      <c r="B35" s="20" t="n">
        <v>7635614.36</v>
      </c>
      <c r="C35" s="21" t="n">
        <v>102</v>
      </c>
      <c r="D35" s="22" t="n">
        <v>0.2165</v>
      </c>
      <c r="E35" s="19" t="inlineStr"/>
    </row>
    <row r="36">
      <c r="A36" s="24" t="n">
        <v>45515</v>
      </c>
      <c r="B36" s="15" t="n">
        <v>6763394.15</v>
      </c>
      <c r="C36" s="16" t="n">
        <v>79</v>
      </c>
      <c r="D36" s="17" t="n">
        <v>-0.1142</v>
      </c>
      <c r="E36" s="14" t="inlineStr"/>
    </row>
    <row r="37">
      <c r="A37" s="23" t="n">
        <v>45522</v>
      </c>
      <c r="B37" s="20" t="n">
        <v>6682260.25</v>
      </c>
      <c r="C37" s="21" t="n">
        <v>87</v>
      </c>
      <c r="D37" s="22" t="n">
        <v>-0.012</v>
      </c>
      <c r="E37" s="19" t="inlineStr"/>
    </row>
    <row r="38">
      <c r="A38" s="24" t="n">
        <v>45529</v>
      </c>
      <c r="B38" s="15" t="n">
        <v>7705006.72</v>
      </c>
      <c r="C38" s="16" t="n">
        <v>97</v>
      </c>
      <c r="D38" s="17" t="n">
        <v>0.1531</v>
      </c>
      <c r="E38" s="14" t="inlineStr"/>
    </row>
    <row r="39">
      <c r="A39" s="23" t="n">
        <v>45536</v>
      </c>
      <c r="B39" s="20" t="n">
        <v>5286026.92</v>
      </c>
      <c r="C39" s="21" t="n">
        <v>79</v>
      </c>
      <c r="D39" s="22" t="n">
        <v>-0.3139</v>
      </c>
      <c r="E39" s="19" t="inlineStr"/>
    </row>
    <row r="40">
      <c r="A40" s="24" t="n">
        <v>45543</v>
      </c>
      <c r="B40" s="15" t="n">
        <v>6130774.87</v>
      </c>
      <c r="C40" s="16" t="n">
        <v>97</v>
      </c>
      <c r="D40" s="17" t="n">
        <v>0.1598</v>
      </c>
      <c r="E40" s="14" t="inlineStr"/>
    </row>
    <row r="41">
      <c r="A41" s="23" t="n">
        <v>45550</v>
      </c>
      <c r="B41" s="20" t="n">
        <v>5730944.12</v>
      </c>
      <c r="C41" s="21" t="n">
        <v>84</v>
      </c>
      <c r="D41" s="22" t="n">
        <v>-0.06519999999999999</v>
      </c>
      <c r="E41" s="19" t="inlineStr"/>
    </row>
    <row r="42">
      <c r="A42" s="24" t="n">
        <v>45557</v>
      </c>
      <c r="B42" s="15" t="n">
        <v>6232406.3</v>
      </c>
      <c r="C42" s="16" t="n">
        <v>78</v>
      </c>
      <c r="D42" s="17" t="n">
        <v>0.08749999999999999</v>
      </c>
      <c r="E42" s="14" t="inlineStr"/>
    </row>
    <row r="43">
      <c r="A43" s="23" t="n">
        <v>45564</v>
      </c>
      <c r="B43" s="20" t="n">
        <v>7681614.4</v>
      </c>
      <c r="C43" s="21" t="n">
        <v>94</v>
      </c>
      <c r="D43" s="22" t="n">
        <v>0.2325</v>
      </c>
      <c r="E43" s="19" t="inlineStr"/>
    </row>
    <row r="44">
      <c r="A44" s="24" t="n">
        <v>45571</v>
      </c>
      <c r="B44" s="15" t="n">
        <v>8164828.91</v>
      </c>
      <c r="C44" s="16" t="n">
        <v>110</v>
      </c>
      <c r="D44" s="17" t="n">
        <v>0.0629</v>
      </c>
      <c r="E44" s="14" t="inlineStr"/>
    </row>
    <row r="45">
      <c r="A45" s="23" t="n">
        <v>45578</v>
      </c>
      <c r="B45" s="20" t="n">
        <v>5976256.75</v>
      </c>
      <c r="C45" s="21" t="n">
        <v>80</v>
      </c>
      <c r="D45" s="22" t="n">
        <v>-0.268</v>
      </c>
      <c r="E45" s="19" t="inlineStr"/>
    </row>
    <row r="46">
      <c r="A46" s="24" t="n">
        <v>45585</v>
      </c>
      <c r="B46" s="15" t="n">
        <v>6228107</v>
      </c>
      <c r="C46" s="16" t="n">
        <v>85</v>
      </c>
      <c r="D46" s="17" t="n">
        <v>0.0421</v>
      </c>
      <c r="E46" s="14" t="inlineStr"/>
    </row>
    <row r="47">
      <c r="A47" s="23" t="n">
        <v>45592</v>
      </c>
      <c r="B47" s="20" t="n">
        <v>8679617.07</v>
      </c>
      <c r="C47" s="21" t="n">
        <v>97</v>
      </c>
      <c r="D47" s="22" t="n">
        <v>0.3936</v>
      </c>
      <c r="E47" s="19" t="inlineStr"/>
    </row>
    <row r="48">
      <c r="A48" s="24" t="n">
        <v>45599</v>
      </c>
      <c r="B48" s="15" t="n">
        <v>8171391.85</v>
      </c>
      <c r="C48" s="16" t="n">
        <v>90</v>
      </c>
      <c r="D48" s="17" t="n">
        <v>-0.05860000000000001</v>
      </c>
      <c r="E48" s="14" t="inlineStr"/>
    </row>
    <row r="49">
      <c r="A49" s="23" t="n">
        <v>45606</v>
      </c>
      <c r="B49" s="20" t="n">
        <v>8842504.17</v>
      </c>
      <c r="C49" s="21" t="n">
        <v>97</v>
      </c>
      <c r="D49" s="22" t="n">
        <v>0.08210000000000001</v>
      </c>
      <c r="E49" s="19" t="inlineStr"/>
    </row>
    <row r="50">
      <c r="A50" s="24" t="n">
        <v>45613</v>
      </c>
      <c r="B50" s="15" t="n">
        <v>7425416.06</v>
      </c>
      <c r="C50" s="16" t="n">
        <v>105</v>
      </c>
      <c r="D50" s="17" t="n">
        <v>-0.1603</v>
      </c>
      <c r="E50" s="14" t="inlineStr"/>
    </row>
    <row r="51">
      <c r="A51" s="23" t="n">
        <v>45620</v>
      </c>
      <c r="B51" s="20" t="n">
        <v>6844451.56</v>
      </c>
      <c r="C51" s="21" t="n">
        <v>100</v>
      </c>
      <c r="D51" s="22" t="n">
        <v>-0.07820000000000001</v>
      </c>
      <c r="E51" s="19" t="inlineStr"/>
    </row>
    <row r="52">
      <c r="A52" s="24" t="n">
        <v>45627</v>
      </c>
      <c r="B52" s="15" t="n">
        <v>8259357.42</v>
      </c>
      <c r="C52" s="16" t="n">
        <v>88</v>
      </c>
      <c r="D52" s="17" t="n">
        <v>0.2067</v>
      </c>
      <c r="E52" s="14" t="inlineStr"/>
    </row>
    <row r="53">
      <c r="A53" s="23" t="n">
        <v>45634</v>
      </c>
      <c r="B53" s="20" t="n">
        <v>7719602.11</v>
      </c>
      <c r="C53" s="21" t="n">
        <v>99</v>
      </c>
      <c r="D53" s="22" t="n">
        <v>-0.0654</v>
      </c>
      <c r="E53" s="19" t="inlineStr"/>
    </row>
    <row r="54">
      <c r="A54" s="24" t="n">
        <v>45641</v>
      </c>
      <c r="B54" s="15" t="n">
        <v>6418925.96</v>
      </c>
      <c r="C54" s="16" t="n">
        <v>84</v>
      </c>
      <c r="D54" s="17" t="n">
        <v>-0.1685</v>
      </c>
      <c r="E54" s="14" t="inlineStr"/>
    </row>
    <row r="55">
      <c r="A55" s="23" t="n">
        <v>45648</v>
      </c>
      <c r="B55" s="20" t="n">
        <v>7365293.23</v>
      </c>
      <c r="C55" s="21" t="n">
        <v>102</v>
      </c>
      <c r="D55" s="22" t="n">
        <v>0.1474</v>
      </c>
      <c r="E55" s="19" t="inlineStr"/>
    </row>
    <row r="56">
      <c r="A56" s="24" t="n">
        <v>45655</v>
      </c>
      <c r="B56" s="15" t="n">
        <v>6791525.83</v>
      </c>
      <c r="C56" s="16" t="n">
        <v>92</v>
      </c>
      <c r="D56" s="17" t="n">
        <v>-0.0779</v>
      </c>
      <c r="E56" s="14" t="inlineStr"/>
    </row>
    <row r="57">
      <c r="A57" s="25" t="n">
        <v>45662</v>
      </c>
      <c r="B57" s="26" t="n">
        <v>2354176.1</v>
      </c>
      <c r="C57" s="27" t="n">
        <v>27</v>
      </c>
      <c r="D57" s="28" t="inlineStr">
        <is>
          <t>-</t>
        </is>
      </c>
      <c r="E57" s="29" t="inlineStr">
        <is>
          <t>Incomplete week</t>
        </is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14" customWidth="1" min="4" max="4"/>
  </cols>
  <sheetData>
    <row r="1" ht="36" customHeight="1">
      <c r="A1" s="1" t="inlineStr">
        <is>
          <t>Pareto Curve - Revenue Concentration</t>
        </is>
      </c>
    </row>
    <row r="2">
      <c r="A2" s="2" t="inlineStr">
        <is>
          <t>How quickly does cumulative revenue reach 80%? The steeper the rise, the more concentrated the business.</t>
        </is>
      </c>
    </row>
    <row r="4" ht="24" customHeight="1">
      <c r="A4" s="7" t="inlineStr">
        <is>
          <t>Rank</t>
        </is>
      </c>
      <c r="B4" s="7" t="inlineStr">
        <is>
          <t>Customer</t>
        </is>
      </c>
      <c r="C4" s="7" t="inlineStr">
        <is>
          <t>Cumulative %</t>
        </is>
      </c>
      <c r="D4" s="7" t="inlineStr">
        <is>
          <t>80% Line</t>
        </is>
      </c>
    </row>
    <row r="5">
      <c r="A5" s="18" t="n">
        <v>1</v>
      </c>
      <c r="B5" s="19" t="inlineStr">
        <is>
          <t>Global Pulp &amp; Paper Inc</t>
        </is>
      </c>
      <c r="C5" s="22" t="n">
        <v>0.8548</v>
      </c>
      <c r="D5" s="22" t="n">
        <v>0.8</v>
      </c>
    </row>
    <row r="6">
      <c r="A6" s="13" t="n">
        <v>2</v>
      </c>
      <c r="B6" s="14" t="inlineStr">
        <is>
          <t>Sequoia Wood Products</t>
        </is>
      </c>
      <c r="C6" s="17" t="n">
        <v>0.91</v>
      </c>
      <c r="D6" s="17" t="n">
        <v>0.8</v>
      </c>
    </row>
    <row r="7">
      <c r="A7" s="18" t="n">
        <v>3</v>
      </c>
      <c r="B7" s="19" t="inlineStr">
        <is>
          <t>Midwest Steel Works</t>
        </is>
      </c>
      <c r="C7" s="22" t="n">
        <v>0.9279000000000001</v>
      </c>
      <c r="D7" s="22" t="n">
        <v>0.8</v>
      </c>
    </row>
    <row r="8">
      <c r="A8" s="13" t="n">
        <v>4</v>
      </c>
      <c r="B8" s="14" t="inlineStr">
        <is>
          <t>Pacific Recycling LLC</t>
        </is>
      </c>
      <c r="C8" s="17" t="n">
        <v>0.9445999999999999</v>
      </c>
      <c r="D8" s="17" t="n">
        <v>0.8</v>
      </c>
    </row>
    <row r="9">
      <c r="A9" s="18" t="n">
        <v>5</v>
      </c>
      <c r="B9" s="19" t="inlineStr">
        <is>
          <t>Continental Packaging Group</t>
        </is>
      </c>
      <c r="C9" s="22" t="n">
        <v>0.9569</v>
      </c>
      <c r="D9" s="22" t="n">
        <v>0.8</v>
      </c>
    </row>
    <row r="10">
      <c r="A10" s="13" t="n">
        <v>6</v>
      </c>
      <c r="B10" s="14" t="inlineStr">
        <is>
          <t>Acme Industrial Corp</t>
        </is>
      </c>
      <c r="C10" s="17" t="n">
        <v>0.9634</v>
      </c>
      <c r="D10" s="17" t="n">
        <v>0.8</v>
      </c>
    </row>
    <row r="11">
      <c r="A11" s="18" t="n">
        <v>7</v>
      </c>
      <c r="B11" s="19" t="inlineStr">
        <is>
          <t>Cascade Paper Products</t>
        </is>
      </c>
      <c r="C11" s="22" t="n">
        <v>0.9684</v>
      </c>
      <c r="D11" s="22" t="n">
        <v>0.8</v>
      </c>
    </row>
    <row r="12">
      <c r="A12" s="13" t="n">
        <v>8</v>
      </c>
      <c r="B12" s="14" t="inlineStr">
        <is>
          <t>Tidewater Chemical Co</t>
        </is>
      </c>
      <c r="C12" s="17" t="n">
        <v>0.9734</v>
      </c>
      <c r="D12" s="17" t="n">
        <v>0.8</v>
      </c>
    </row>
    <row r="13">
      <c r="A13" s="18" t="n">
        <v>9</v>
      </c>
      <c r="B13" s="19" t="inlineStr">
        <is>
          <t>Evergreen Forest Industries</t>
        </is>
      </c>
      <c r="C13" s="22" t="n">
        <v>0.9777</v>
      </c>
      <c r="D13" s="22" t="n">
        <v>0.8</v>
      </c>
    </row>
    <row r="14">
      <c r="A14" s="13" t="n">
        <v>10</v>
      </c>
      <c r="B14" s="14" t="inlineStr">
        <is>
          <t>BlueRidge Manufacturing</t>
        </is>
      </c>
      <c r="C14" s="17" t="n">
        <v>0.9814000000000001</v>
      </c>
      <c r="D14" s="17" t="n">
        <v>0.8</v>
      </c>
    </row>
    <row r="15">
      <c r="A15" s="18" t="n">
        <v>11</v>
      </c>
      <c r="B15" s="19" t="inlineStr">
        <is>
          <t>Pacific Recycling Llc</t>
        </is>
      </c>
      <c r="C15" s="22" t="n">
        <v>0.9843999999999999</v>
      </c>
      <c r="D15" s="22" t="n">
        <v>0.8</v>
      </c>
    </row>
    <row r="16">
      <c r="A16" s="13" t="n">
        <v>12</v>
      </c>
      <c r="B16" s="14" t="inlineStr">
        <is>
          <t>Ironworks Heavy Equipment</t>
        </is>
      </c>
      <c r="C16" s="17" t="n">
        <v>0.9871</v>
      </c>
      <c r="D16" s="17" t="n">
        <v>0.8</v>
      </c>
    </row>
    <row r="17">
      <c r="A17" s="18" t="n">
        <v>13</v>
      </c>
      <c r="B17" s="19" t="inlineStr">
        <is>
          <t>Lakeside Pulp Mills</t>
        </is>
      </c>
      <c r="C17" s="22" t="n">
        <v>0.9893999999999999</v>
      </c>
      <c r="D17" s="22" t="n">
        <v>0.8</v>
      </c>
    </row>
    <row r="18">
      <c r="A18" s="13" t="n">
        <v>14</v>
      </c>
      <c r="B18" s="14" t="inlineStr">
        <is>
          <t>Atlantic Chemical Partners</t>
        </is>
      </c>
      <c r="C18" s="17" t="n">
        <v>0.9913</v>
      </c>
      <c r="D18" s="17" t="n">
        <v>0.8</v>
      </c>
    </row>
    <row r="19">
      <c r="A19" s="18" t="n">
        <v>15</v>
      </c>
      <c r="B19" s="19" t="inlineStr">
        <is>
          <t>Oakwood Materials Inc</t>
        </is>
      </c>
      <c r="C19" s="22" t="n">
        <v>0.9932</v>
      </c>
      <c r="D19" s="22" t="n">
        <v>0.8</v>
      </c>
    </row>
    <row r="20">
      <c r="A20" s="13" t="n">
        <v>16</v>
      </c>
      <c r="B20" s="14" t="inlineStr">
        <is>
          <t>Northern Timber Co</t>
        </is>
      </c>
      <c r="C20" s="17" t="n">
        <v>0.9945999999999999</v>
      </c>
      <c r="D20" s="17" t="n">
        <v>0.8</v>
      </c>
    </row>
    <row r="21">
      <c r="A21" s="18" t="n">
        <v>17</v>
      </c>
      <c r="B21" s="19" t="inlineStr">
        <is>
          <t>Redwood Fiber Solutions</t>
        </is>
      </c>
      <c r="C21" s="22" t="n">
        <v>0.9958</v>
      </c>
      <c r="D21" s="22" t="n">
        <v>0.8</v>
      </c>
    </row>
    <row r="22">
      <c r="A22" s="13" t="n">
        <v>18</v>
      </c>
      <c r="B22" s="14" t="inlineStr">
        <is>
          <t>Prairie Grain Handlers</t>
        </is>
      </c>
      <c r="C22" s="17" t="n">
        <v>0.9969</v>
      </c>
      <c r="D22" s="17" t="n">
        <v>0.8</v>
      </c>
    </row>
    <row r="23">
      <c r="A23" s="18" t="n">
        <v>19</v>
      </c>
      <c r="B23" s="19" t="inlineStr">
        <is>
          <t>Meridian Engineering Services</t>
        </is>
      </c>
      <c r="C23" s="22" t="n">
        <v>0.998</v>
      </c>
      <c r="D23" s="22" t="n">
        <v>0.8</v>
      </c>
    </row>
    <row r="24">
      <c r="A24" s="13" t="n">
        <v>20</v>
      </c>
      <c r="B24" s="14" t="inlineStr">
        <is>
          <t>Summit Mining Enterprises</t>
        </is>
      </c>
      <c r="C24" s="17" t="n">
        <v>0.9987999999999999</v>
      </c>
      <c r="D24" s="17" t="n">
        <v>0.8</v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2026-04-22T15:43:18Z</dcterms:created>
  <dcterms:modified xsi:type="dcterms:W3CDTF">2026-04-22T15:43:18Z</dcterms:modified>
</cp:coreProperties>
</file>